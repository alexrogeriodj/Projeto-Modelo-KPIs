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FL/Excel/Portuguese/"/>
    </mc:Choice>
  </mc:AlternateContent>
  <bookViews>
    <workbookView xWindow="1596" yWindow="0" windowWidth="24096" windowHeight="13080" tabRatio="500"/>
  </bookViews>
  <sheets>
    <sheet name="Painel de métrica de produto" sheetId="1" r:id="rId1"/>
    <sheet name="Dados do Produto" sheetId="2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2" l="1"/>
  <c r="C21" i="2"/>
  <c r="D21" i="2"/>
  <c r="E21" i="2"/>
  <c r="F21" i="2"/>
  <c r="G21" i="2"/>
  <c r="H21" i="2"/>
  <c r="I21" i="2"/>
  <c r="J21" i="2"/>
  <c r="J20" i="2"/>
  <c r="I15" i="2"/>
  <c r="B15" i="2"/>
  <c r="C15" i="2"/>
  <c r="D15" i="2"/>
  <c r="E15" i="2"/>
  <c r="F15" i="2"/>
  <c r="G15" i="2"/>
  <c r="H15" i="2"/>
  <c r="J15" i="2"/>
  <c r="C16" i="2"/>
  <c r="F16" i="2"/>
  <c r="G16" i="2"/>
  <c r="H16" i="2"/>
  <c r="D16" i="2"/>
  <c r="B16" i="2"/>
  <c r="E16" i="2"/>
  <c r="I16" i="2"/>
  <c r="J16" i="2"/>
</calcChain>
</file>

<file path=xl/sharedStrings.xml><?xml version="1.0" encoding="utf-8"?>
<sst xmlns="http://schemas.openxmlformats.org/spreadsheetml/2006/main" count="58" uniqueCount="37">
  <si>
    <t>JAN</t>
  </si>
  <si>
    <t>MAR</t>
  </si>
  <si>
    <t>JUN</t>
  </si>
  <si>
    <t>JUL</t>
  </si>
  <si>
    <t>NOV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</si>
  <si>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</si>
  <si>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</si>
  <si>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</si>
  <si>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</si>
  <si>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</si>
  <si>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</si>
  <si>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</si>
  <si>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</si>
  <si>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Learn More About Dashboards in Smartsheet</t>
  </si>
  <si>
    <t>RENDA DO PRODUTO</t>
  </si>
  <si>
    <t>PAINEL DE CONTROLE DE MÉTRICA DE PRODUTO</t>
  </si>
  <si>
    <t>RENDA DETALHADA</t>
  </si>
  <si>
    <t>TEMPO PARA LANÇAMENTO NO MERCADO</t>
  </si>
  <si>
    <t>GANHO / PERDA</t>
  </si>
  <si>
    <t>NOME DO PRODUTO</t>
  </si>
  <si>
    <t>MÉTRICA DE DADOS DO PRODUTO</t>
  </si>
  <si>
    <t>FEV</t>
  </si>
  <si>
    <t>ABR</t>
  </si>
  <si>
    <t>MAIO</t>
  </si>
  <si>
    <t>AGO</t>
  </si>
  <si>
    <t>SET</t>
  </si>
  <si>
    <t>OUT</t>
  </si>
  <si>
    <t>DEZ</t>
  </si>
  <si>
    <t>RENDA ANUAL</t>
  </si>
  <si>
    <t>PORCENTAGEM</t>
  </si>
  <si>
    <t>TOTAL</t>
  </si>
  <si>
    <t>GANHO</t>
  </si>
  <si>
    <t>PERDA</t>
  </si>
  <si>
    <t>NOVO</t>
  </si>
  <si>
    <t>EXISTENTE</t>
  </si>
  <si>
    <t>DIAS</t>
  </si>
  <si>
    <t>OBJETIVO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</si>
</sst>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"/>
    <numFmt numFmtId="165" formatCode="0.0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Arial"/>
    </font>
    <font>
      <b/>
      <sz val="10"/>
      <color indexed="9"/>
      <name val="Arial"/>
    </font>
    <font>
      <sz val="10"/>
      <color indexed="8"/>
      <name val="Arial"/>
    </font>
    <font>
      <b/>
      <sz val="12"/>
      <color indexed="9"/>
      <name val="Arial"/>
    </font>
    <font>
      <b/>
      <sz val="14"/>
      <color theme="9" tint="-0.499984740745262"/>
      <name val="Arial"/>
    </font>
    <font>
      <sz val="8"/>
      <name val="Verdana"/>
    </font>
    <font>
      <u/>
      <sz val="12"/>
      <color indexed="12"/>
      <name val="Calibri"/>
      <family val="2"/>
    </font>
    <font>
      <u/>
      <sz val="36"/>
      <color indexed="1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C25B"/>
        <bgColor indexed="64"/>
      </patternFill>
    </fill>
  </fills>
  <borders count="3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2" fillId="0" borderId="0" xfId="0" applyFont="1"/>
    <xf numFmtId="0" fontId="5" fillId="5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5" fillId="2" borderId="1" xfId="0" applyFont="1" applyFill="1" applyBorder="1" applyAlignment="1">
      <alignment horizontal="left" vertical="center" indent="1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indent="1"/>
    </xf>
    <xf numFmtId="165" fontId="4" fillId="0" borderId="1" xfId="0" applyNumberFormat="1" applyFont="1" applyBorder="1" applyAlignment="1">
      <alignment horizontal="center"/>
    </xf>
    <xf numFmtId="0" fontId="5" fillId="7" borderId="1" xfId="0" applyFont="1" applyFill="1" applyBorder="1" applyAlignment="1">
      <alignment horizontal="center" vertical="center"/>
    </xf>
    <xf numFmtId="0" fontId="3" fillId="7" borderId="1" xfId="0" applyFont="1" applyFill="1" applyBorder="1"/>
    <xf numFmtId="164" fontId="4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9" fontId="4" fillId="0" borderId="1" xfId="1" applyFont="1" applyBorder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indent="1"/>
    </xf>
    <xf numFmtId="0" fontId="2" fillId="0" borderId="0" xfId="0" applyFont="1" applyBorder="1"/>
    <xf numFmtId="0" fontId="0" fillId="0" borderId="0" xfId="0" applyBorder="1"/>
    <xf numFmtId="0" fontId="5" fillId="0" borderId="0" xfId="0" applyFont="1" applyFill="1" applyBorder="1" applyAlignment="1">
      <alignment vertical="center"/>
    </xf>
    <xf numFmtId="0" fontId="0" fillId="10" borderId="0" xfId="0" applyFill="1" applyBorder="1"/>
    <xf numFmtId="0" fontId="6" fillId="0" borderId="0" xfId="0" applyFont="1" applyBorder="1" applyAlignment="1">
      <alignment horizontal="left" vertical="center" indent="1"/>
    </xf>
    <xf numFmtId="0" fontId="5" fillId="4" borderId="0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 indent="1"/>
    </xf>
    <xf numFmtId="0" fontId="4" fillId="0" borderId="1" xfId="0" applyFont="1" applyFill="1" applyBorder="1" applyAlignment="1">
      <alignment horizontal="left" indent="1"/>
    </xf>
    <xf numFmtId="0" fontId="5" fillId="9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 indent="1"/>
    </xf>
    <xf numFmtId="0" fontId="5" fillId="3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9" fillId="11" borderId="0" xfId="2" applyFont="1" applyFill="1" applyBorder="1" applyAlignment="1" applyProtection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03C25B"/>
      <color rgb="FFFFFF66"/>
      <color rgb="FF6A3AFF"/>
      <color rgb="FFEE57AD"/>
      <color rgb="FFFFC11D"/>
      <color rgb="FFED7C00"/>
      <color rgb="FF732EE0"/>
      <color rgb="FFF1B93C"/>
      <color rgb="FFFFDCE4"/>
      <color rgb="FFE3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'Dados do Produto'!$A$4</c:f>
              <c:strCache>
                <c:ptCount val="1"/>
                <c:pt idx="0">
                  <c:v>ITEM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Produto'!$B$4:$N$4</c:f>
              <c:numCache>
                <c:formatCode>"$"#,##0</c:formatCode>
                <c:ptCount val="13"/>
                <c:pt idx="1">
                  <c:v>47216</c:v>
                </c:pt>
                <c:pt idx="2">
                  <c:v>244714</c:v>
                </c:pt>
                <c:pt idx="3">
                  <c:v>246549</c:v>
                </c:pt>
                <c:pt idx="4">
                  <c:v>235062</c:v>
                </c:pt>
                <c:pt idx="5">
                  <c:v>162881</c:v>
                </c:pt>
                <c:pt idx="6">
                  <c:v>96528</c:v>
                </c:pt>
                <c:pt idx="7">
                  <c:v>29235</c:v>
                </c:pt>
                <c:pt idx="8">
                  <c:v>25934</c:v>
                </c:pt>
                <c:pt idx="9">
                  <c:v>233397</c:v>
                </c:pt>
                <c:pt idx="10">
                  <c:v>78479</c:v>
                </c:pt>
                <c:pt idx="11">
                  <c:v>184799</c:v>
                </c:pt>
                <c:pt idx="12">
                  <c:v>248215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7-4F82-B077-425A46D6D56D}"/>
            </c:ext>
          </c:extLst>
        </c:ser>
        <c:ser>
          <c:idx val="1"/>
          <c:order val="1"/>
          <c:tx>
            <c:strRef>
              <c:f>'Dados do Produto'!$A$5</c:f>
              <c:strCache>
                <c:ptCount val="1"/>
                <c:pt idx="0">
                  <c:v>ITEM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Produto'!$B$5:$N$5</c:f>
              <c:numCache>
                <c:formatCode>"$"#,##0</c:formatCode>
                <c:ptCount val="13"/>
                <c:pt idx="1">
                  <c:v>19193</c:v>
                </c:pt>
                <c:pt idx="2">
                  <c:v>32086</c:v>
                </c:pt>
                <c:pt idx="3">
                  <c:v>93117</c:v>
                </c:pt>
                <c:pt idx="4">
                  <c:v>45862</c:v>
                </c:pt>
                <c:pt idx="5">
                  <c:v>62853</c:v>
                </c:pt>
                <c:pt idx="6">
                  <c:v>55513</c:v>
                </c:pt>
                <c:pt idx="7">
                  <c:v>22945</c:v>
                </c:pt>
                <c:pt idx="8">
                  <c:v>15084</c:v>
                </c:pt>
                <c:pt idx="9">
                  <c:v>45347</c:v>
                </c:pt>
                <c:pt idx="10">
                  <c:v>57736</c:v>
                </c:pt>
                <c:pt idx="11">
                  <c:v>20142</c:v>
                </c:pt>
                <c:pt idx="12">
                  <c:v>45284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7-4F82-B077-425A46D6D56D}"/>
            </c:ext>
          </c:extLst>
        </c:ser>
        <c:ser>
          <c:idx val="2"/>
          <c:order val="2"/>
          <c:tx>
            <c:strRef>
              <c:f>'Dados do Produto'!$A$6</c:f>
              <c:strCache>
                <c:ptCount val="1"/>
                <c:pt idx="0">
                  <c:v>ITEM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Produto'!$B$6:$N$6</c:f>
              <c:numCache>
                <c:formatCode>"$"#,##0</c:formatCode>
                <c:ptCount val="13"/>
                <c:pt idx="1">
                  <c:v>222006</c:v>
                </c:pt>
                <c:pt idx="2">
                  <c:v>180009</c:v>
                </c:pt>
                <c:pt idx="3">
                  <c:v>99998</c:v>
                </c:pt>
                <c:pt idx="4">
                  <c:v>215030</c:v>
                </c:pt>
                <c:pt idx="5">
                  <c:v>195262</c:v>
                </c:pt>
                <c:pt idx="6">
                  <c:v>272260</c:v>
                </c:pt>
                <c:pt idx="7">
                  <c:v>128123</c:v>
                </c:pt>
                <c:pt idx="8">
                  <c:v>163950</c:v>
                </c:pt>
                <c:pt idx="9">
                  <c:v>213914</c:v>
                </c:pt>
                <c:pt idx="10">
                  <c:v>180191</c:v>
                </c:pt>
                <c:pt idx="11">
                  <c:v>111890</c:v>
                </c:pt>
                <c:pt idx="12">
                  <c:v>260495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87-4F82-B077-425A46D6D56D}"/>
            </c:ext>
          </c:extLst>
        </c:ser>
        <c:ser>
          <c:idx val="3"/>
          <c:order val="3"/>
          <c:tx>
            <c:strRef>
              <c:f>'Dados do Produto'!$A$7</c:f>
              <c:strCache>
                <c:ptCount val="1"/>
                <c:pt idx="0">
                  <c:v>ITEM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Produto'!$B$7:$N$7</c:f>
              <c:numCache>
                <c:formatCode>"$"#,##0</c:formatCode>
                <c:ptCount val="13"/>
                <c:pt idx="1">
                  <c:v>39469</c:v>
                </c:pt>
                <c:pt idx="2">
                  <c:v>58661</c:v>
                </c:pt>
                <c:pt idx="3">
                  <c:v>60612</c:v>
                </c:pt>
                <c:pt idx="4">
                  <c:v>99456</c:v>
                </c:pt>
                <c:pt idx="5">
                  <c:v>39062</c:v>
                </c:pt>
                <c:pt idx="6">
                  <c:v>42689</c:v>
                </c:pt>
                <c:pt idx="7">
                  <c:v>53197</c:v>
                </c:pt>
                <c:pt idx="8">
                  <c:v>23026</c:v>
                </c:pt>
                <c:pt idx="9">
                  <c:v>33165</c:v>
                </c:pt>
                <c:pt idx="10">
                  <c:v>88342</c:v>
                </c:pt>
                <c:pt idx="11">
                  <c:v>8492</c:v>
                </c:pt>
                <c:pt idx="12">
                  <c:v>34798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87-4F82-B077-425A46D6D56D}"/>
            </c:ext>
          </c:extLst>
        </c:ser>
        <c:ser>
          <c:idx val="4"/>
          <c:order val="4"/>
          <c:tx>
            <c:strRef>
              <c:f>'Dados do Produto'!$A$8</c:f>
              <c:strCache>
                <c:ptCount val="1"/>
                <c:pt idx="0">
                  <c:v>ITEM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Produto'!$B$8:$N$8</c:f>
              <c:numCache>
                <c:formatCode>"$"#,##0</c:formatCode>
                <c:ptCount val="13"/>
                <c:pt idx="1">
                  <c:v>234770</c:v>
                </c:pt>
                <c:pt idx="2">
                  <c:v>46607</c:v>
                </c:pt>
                <c:pt idx="3">
                  <c:v>232313</c:v>
                </c:pt>
                <c:pt idx="4">
                  <c:v>255979</c:v>
                </c:pt>
                <c:pt idx="5">
                  <c:v>282279</c:v>
                </c:pt>
                <c:pt idx="6">
                  <c:v>83677</c:v>
                </c:pt>
                <c:pt idx="7">
                  <c:v>254593</c:v>
                </c:pt>
                <c:pt idx="8">
                  <c:v>50461</c:v>
                </c:pt>
                <c:pt idx="9">
                  <c:v>239685</c:v>
                </c:pt>
                <c:pt idx="10">
                  <c:v>106425</c:v>
                </c:pt>
                <c:pt idx="11">
                  <c:v>229535</c:v>
                </c:pt>
                <c:pt idx="12">
                  <c:v>200682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87-4F82-B077-425A46D6D56D}"/>
            </c:ext>
          </c:extLst>
        </c:ser>
        <c:ser>
          <c:idx val="5"/>
          <c:order val="5"/>
          <c:tx>
            <c:strRef>
              <c:f>'Dados do Produto'!$A$9</c:f>
              <c:strCache>
                <c:ptCount val="1"/>
                <c:pt idx="0">
                  <c:v>ITEM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Produto'!$B$9:$N$9</c:f>
              <c:numCache>
                <c:formatCode>"$"#,##0</c:formatCode>
                <c:ptCount val="13"/>
                <c:pt idx="1">
                  <c:v>201494</c:v>
                </c:pt>
                <c:pt idx="2">
                  <c:v>186911</c:v>
                </c:pt>
                <c:pt idx="3">
                  <c:v>203515</c:v>
                </c:pt>
                <c:pt idx="4">
                  <c:v>234445</c:v>
                </c:pt>
                <c:pt idx="5">
                  <c:v>181894</c:v>
                </c:pt>
                <c:pt idx="6">
                  <c:v>160175</c:v>
                </c:pt>
                <c:pt idx="7">
                  <c:v>266340</c:v>
                </c:pt>
                <c:pt idx="8">
                  <c:v>175055</c:v>
                </c:pt>
                <c:pt idx="9">
                  <c:v>94469</c:v>
                </c:pt>
                <c:pt idx="10">
                  <c:v>209779</c:v>
                </c:pt>
                <c:pt idx="11">
                  <c:v>275541</c:v>
                </c:pt>
                <c:pt idx="12">
                  <c:v>268761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87-4F82-B077-425A46D6D56D}"/>
            </c:ext>
          </c:extLst>
        </c:ser>
        <c:ser>
          <c:idx val="6"/>
          <c:order val="6"/>
          <c:tx>
            <c:strRef>
              <c:f>'Dados do Produto'!$A$10</c:f>
              <c:strCache>
                <c:ptCount val="1"/>
                <c:pt idx="0">
                  <c:v>ITEM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Produto'!$B$10:$N$10</c:f>
              <c:numCache>
                <c:formatCode>"$"#,##0</c:formatCode>
                <c:ptCount val="13"/>
                <c:pt idx="1">
                  <c:v>274110</c:v>
                </c:pt>
                <c:pt idx="2">
                  <c:v>149012</c:v>
                </c:pt>
                <c:pt idx="3">
                  <c:v>260774</c:v>
                </c:pt>
                <c:pt idx="4">
                  <c:v>107794</c:v>
                </c:pt>
                <c:pt idx="5">
                  <c:v>35721</c:v>
                </c:pt>
                <c:pt idx="6">
                  <c:v>225425</c:v>
                </c:pt>
                <c:pt idx="7">
                  <c:v>62085</c:v>
                </c:pt>
                <c:pt idx="8">
                  <c:v>130874</c:v>
                </c:pt>
                <c:pt idx="9">
                  <c:v>194695</c:v>
                </c:pt>
                <c:pt idx="10">
                  <c:v>19447</c:v>
                </c:pt>
                <c:pt idx="11">
                  <c:v>31889</c:v>
                </c:pt>
                <c:pt idx="12">
                  <c:v>31930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87-4F82-B077-425A46D6D56D}"/>
            </c:ext>
          </c:extLst>
        </c:ser>
        <c:ser>
          <c:idx val="7"/>
          <c:order val="7"/>
          <c:tx>
            <c:strRef>
              <c:f>'Dados do Produto'!$A$11</c:f>
              <c:strCache>
                <c:ptCount val="1"/>
                <c:pt idx="0">
                  <c:v>ITEM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do Produto'!$B$3:$N$3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MAIO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'Dados do Produto'!$B$11:$N$11</c:f>
              <c:numCache>
                <c:formatCode>"$"#,##0</c:formatCode>
                <c:ptCount val="13"/>
                <c:pt idx="1">
                  <c:v>82171</c:v>
                </c:pt>
                <c:pt idx="2">
                  <c:v>204047</c:v>
                </c:pt>
                <c:pt idx="3">
                  <c:v>44710</c:v>
                </c:pt>
                <c:pt idx="4">
                  <c:v>100217</c:v>
                </c:pt>
                <c:pt idx="5">
                  <c:v>115395</c:v>
                </c:pt>
                <c:pt idx="6">
                  <c:v>145751</c:v>
                </c:pt>
                <c:pt idx="7">
                  <c:v>15786</c:v>
                </c:pt>
                <c:pt idx="8">
                  <c:v>37944</c:v>
                </c:pt>
                <c:pt idx="9">
                  <c:v>38415</c:v>
                </c:pt>
                <c:pt idx="10">
                  <c:v>70395</c:v>
                </c:pt>
                <c:pt idx="11">
                  <c:v>25040</c:v>
                </c:pt>
                <c:pt idx="12">
                  <c:v>67508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87-4F82-B077-425A46D6D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4061000"/>
        <c:axId val="2114015576"/>
      </c:barChart>
      <c:catAx>
        <c:axId val="2114061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4015576"/>
        <c:crossesAt val="0"/>
        <c:auto val="1"/>
        <c:lblAlgn val="ctr"/>
        <c:lblOffset val="100"/>
        <c:noMultiLvlLbl val="0"/>
      </c:catAx>
      <c:valAx>
        <c:axId val="211401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406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6C-4A49-B698-38F5E2DCBE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6C-4A49-B698-38F5E2DCBE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6C-4A49-B698-38F5E2DCBE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6C-4A49-B698-38F5E2DCBE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6C-4A49-B698-38F5E2DCBE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6C-4A49-B698-38F5E2DCBEF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6C-4A49-B698-38F5E2DCBEF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6C-4A49-B698-38F5E2DCBE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'Dados do Produto'!$B$14:$I$14</c:f>
              <c:strCache>
                <c:ptCount val="8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</c:strCache>
            </c:strRef>
          </c:cat>
          <c:val>
            <c:numRef>
              <c:f>'Dados do Produto'!$B$16:$I$16</c:f>
              <c:numCache>
                <c:formatCode>0%</c:formatCode>
                <c:ptCount val="8"/>
                <c:pt idx="0">
                  <c:v>0.14879783628064708</c:v>
                </c:pt>
                <c:pt idx="1">
                  <c:v>4.1819211435410689E-2</c:v>
                </c:pt>
                <c:pt idx="2">
                  <c:v>0.18208999132057471</c:v>
                </c:pt>
                <c:pt idx="3">
                  <c:v>4.716121423633559E-2</c:v>
                </c:pt>
                <c:pt idx="4">
                  <c:v>0.17996949050507241</c:v>
                </c:pt>
                <c:pt idx="5">
                  <c:v>0.19956338237170734</c:v>
                </c:pt>
                <c:pt idx="6">
                  <c:v>0.12369366207130117</c:v>
                </c:pt>
                <c:pt idx="7">
                  <c:v>7.6905211778950988E-2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6C-4A49-B698-38F5E2DCBEF5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96C-4A49-B698-38F5E2DCBE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96C-4A49-B698-38F5E2DCBE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96C-4A49-B698-38F5E2DCBEF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96C-4A49-B698-38F5E2DCBE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96C-4A49-B698-38F5E2DCBE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96C-4A49-B698-38F5E2DCBEF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96C-4A49-B698-38F5E2DCBEF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96C-4A49-B698-38F5E2DCBEF5}"/>
              </c:ext>
            </c:extLst>
          </c:dPt>
          <c:cat>
            <c:strRef>
              <c:f>'Dados do Produto'!$B$14:$I$14</c:f>
              <c:strCache>
                <c:ptCount val="8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</c:strCache>
            </c:strRef>
          </c:cat>
          <c:val>
            <c:numRef>
              <c:f>'Dados do Produto'!$B$16:$I$16</c:f>
              <c:numCache>
                <c:formatCode>0%</c:formatCode>
                <c:ptCount val="8"/>
                <c:pt idx="0">
                  <c:v>0.14879783628064708</c:v>
                </c:pt>
                <c:pt idx="1">
                  <c:v>4.1819211435410689E-2</c:v>
                </c:pt>
                <c:pt idx="2">
                  <c:v>0.18208999132057471</c:v>
                </c:pt>
                <c:pt idx="3">
                  <c:v>4.716121423633559E-2</c:v>
                </c:pt>
                <c:pt idx="4">
                  <c:v>0.17996949050507241</c:v>
                </c:pt>
                <c:pt idx="5">
                  <c:v>0.19956338237170734</c:v>
                </c:pt>
                <c:pt idx="6">
                  <c:v>0.12369366207130117</c:v>
                </c:pt>
                <c:pt idx="7">
                  <c:v>7.6905211778950988E-2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96C-4A49-B698-38F5E2DCB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'Dados do Produto'!$L$15</c:f>
              <c:strCache>
                <c:ptCount val="1"/>
                <c:pt idx="0">
                  <c:v>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Produto'!$M$14:$N$14</c:f>
              <c:strCache>
                <c:ptCount val="2"/>
                <c:pt idx="0">
                  <c:v>NOVO</c:v>
                </c:pt>
                <c:pt idx="1">
                  <c:v>EXISTENTE</c:v>
                </c:pt>
              </c:strCache>
            </c:strRef>
          </c:cat>
          <c:val>
            <c:numRef>
              <c:f>'Dados do Produto'!$M$15:$N$15</c:f>
              <c:numCache>
                <c:formatCode>0.0</c:formatCode>
                <c:ptCount val="2"/>
                <c:pt idx="0">
                  <c:v>57.6</c:v>
                </c:pt>
                <c:pt idx="1">
                  <c:v>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A-424C-932C-5766BE5C3A82}"/>
            </c:ext>
          </c:extLst>
        </c:ser>
        <c:ser>
          <c:idx val="1"/>
          <c:order val="1"/>
          <c:tx>
            <c:strRef>
              <c:f>'Dados do Produto'!$L$16</c:f>
              <c:strCache>
                <c:ptCount val="1"/>
                <c:pt idx="0">
                  <c:v>OBJETIVO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Produto'!$M$14:$N$14</c:f>
              <c:strCache>
                <c:ptCount val="2"/>
                <c:pt idx="0">
                  <c:v>NOVO</c:v>
                </c:pt>
                <c:pt idx="1">
                  <c:v>EXISTENTE</c:v>
                </c:pt>
              </c:strCache>
            </c:strRef>
          </c:cat>
          <c:val>
            <c:numRef>
              <c:f>'Dados do Produto'!$M$16:$N$16</c:f>
              <c:numCache>
                <c:formatCode>0.0</c:formatCode>
                <c:ptCount val="2"/>
                <c:pt idx="0">
                  <c:v>55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EA-424C-932C-5766BE5C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30363144"/>
        <c:axId val="2130624024"/>
      </c:barChart>
      <c:catAx>
        <c:axId val="2130363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0624024"/>
        <c:crosses val="autoZero"/>
        <c:auto val="1"/>
        <c:lblAlgn val="ctr"/>
        <c:lblOffset val="100"/>
        <c:noMultiLvlLbl val="0"/>
      </c:catAx>
      <c:valAx>
        <c:axId val="2130624024"/>
        <c:scaling>
          <c:orientation val="minMax"/>
          <c:max val="7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036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 rot="0" vert="horz"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'Dados do Produto'!$A$20</c:f>
              <c:strCache>
                <c:ptCount val="1"/>
                <c:pt idx="0">
                  <c:v>GANHO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strRef>
              <c:f>'Dados do Produto'!$B$19:$I$19</c:f>
              <c:strCache>
                <c:ptCount val="8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</c:strCache>
            </c:strRef>
          </c:cat>
          <c:val>
            <c:numRef>
              <c:f>'Dados do Produto'!$B$20:$I$20</c:f>
              <c:numCache>
                <c:formatCode>0%</c:formatCode>
                <c:ptCount val="8"/>
                <c:pt idx="0">
                  <c:v>0.73</c:v>
                </c:pt>
                <c:pt idx="1">
                  <c:v>0.75</c:v>
                </c:pt>
                <c:pt idx="2">
                  <c:v>0.91</c:v>
                </c:pt>
                <c:pt idx="3">
                  <c:v>0.85</c:v>
                </c:pt>
                <c:pt idx="4">
                  <c:v>0.89</c:v>
                </c:pt>
                <c:pt idx="5">
                  <c:v>0.82</c:v>
                </c:pt>
                <c:pt idx="6">
                  <c:v>0.28000000000000003</c:v>
                </c:pt>
                <c:pt idx="7">
                  <c:v>0.84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0-418E-B7EA-D2AC96B8DA5B}"/>
            </c:ext>
          </c:extLst>
        </c:ser>
        <c:ser>
          <c:idx val="1"/>
          <c:order val="1"/>
          <c:tx>
            <c:strRef>
              <c:f>'Dados do Produto'!$A$21</c:f>
              <c:strCache>
                <c:ptCount val="1"/>
                <c:pt idx="0">
                  <c:v>PERDA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'Dados do Produto'!$B$19:$I$19</c:f>
              <c:strCache>
                <c:ptCount val="8"/>
                <c:pt idx="0">
                  <c:v>ITEM 1</c:v>
                </c:pt>
                <c:pt idx="1">
                  <c:v>ITEM 2</c:v>
                </c:pt>
                <c:pt idx="2">
                  <c:v>ITEM 3</c:v>
                </c:pt>
                <c:pt idx="3">
                  <c:v>ITEM 4</c:v>
                </c:pt>
                <c:pt idx="4">
                  <c:v>ITEM 5</c:v>
                </c:pt>
                <c:pt idx="5">
                  <c:v>ITEM 6</c:v>
                </c:pt>
                <c:pt idx="6">
                  <c:v>ITEM 7</c:v>
                </c:pt>
                <c:pt idx="7">
                  <c:v>ITEM 8</c:v>
                </c:pt>
              </c:strCache>
            </c:strRef>
          </c:cat>
          <c:val>
            <c:numRef>
              <c:f>'Dados do Produto'!$B$21:$I$21</c:f>
              <c:numCache>
                <c:formatCode>0%</c:formatCode>
                <c:ptCount val="8"/>
                <c:pt idx="0">
                  <c:v>0.27</c:v>
                </c:pt>
                <c:pt idx="1">
                  <c:v>0.25</c:v>
                </c:pt>
                <c:pt idx="2">
                  <c:v>8.9999999999999969E-2</c:v>
                </c:pt>
                <c:pt idx="3">
                  <c:v>0.15000000000000002</c:v>
                </c:pt>
                <c:pt idx="4">
                  <c:v>0.10999999999999999</c:v>
                </c:pt>
                <c:pt idx="5">
                  <c:v>0.18000000000000005</c:v>
                </c:pt>
                <c:pt idx="6">
                  <c:v>0.72</c:v>
                </c:pt>
                <c:pt idx="7">
                  <c:v>0.16000000000000003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0-418E-B7EA-D2AC96B8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961096"/>
        <c:axId val="2130053512"/>
      </c:areaChart>
      <c:catAx>
        <c:axId val="2068961096"/>
        <c:scaling>
          <c:orientation val="minMax"/>
        </c:scaling>
        <c:delete val="0"/>
        <c:axPos val="b"/>
        <c:numFmt formatCode="General" sourceLinked="1"/>
        <c:majorTickMark val="cross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0053512"/>
        <c:crosses val="autoZero"/>
        <c:auto val="1"/>
        <c:lblAlgn val="ctr"/>
        <c:lblOffset val="100"/>
        <c:noMultiLvlLbl val="0"/>
      </c:catAx>
      <c:valAx>
        <c:axId val="21300535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cross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068961096"/>
        <c:crossesAt val="1"/>
        <c:crossBetween val="midCat"/>
        <c:minorUnit val="0.0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hyperlink" Target="https://pt.smartsheet.com/tour-do-produto/sights?trp=57030&amp;lx=8ctXrl_Kh26ceDT02PV9bF2F3tjZfBYMXSEruozjq1E&amp;lpa=product+metrics+dashboard+template+pt" TargetMode="Externa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13</xdr:col>
      <xdr:colOff>812800</xdr:colOff>
      <xdr:row>26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28</xdr:row>
      <xdr:rowOff>25400</xdr:rowOff>
    </xdr:from>
    <xdr:to>
      <xdr:col>5</xdr:col>
      <xdr:colOff>901700</xdr:colOff>
      <xdr:row>46</xdr:row>
      <xdr:rowOff>101600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28</xdr:row>
      <xdr:rowOff>63500</xdr:rowOff>
    </xdr:from>
    <xdr:to>
      <xdr:col>13</xdr:col>
      <xdr:colOff>812800</xdr:colOff>
      <xdr:row>46</xdr:row>
      <xdr:rowOff>139700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14</xdr:col>
      <xdr:colOff>177800</xdr:colOff>
      <xdr:row>72</xdr:row>
      <xdr:rowOff>12700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352425</xdr:colOff>
      <xdr:row>0</xdr:row>
      <xdr:rowOff>38100</xdr:rowOff>
    </xdr:from>
    <xdr:to>
      <xdr:col>13</xdr:col>
      <xdr:colOff>747524</xdr:colOff>
      <xdr:row>0</xdr:row>
      <xdr:rowOff>484924</xdr:rowOff>
    </xdr:to>
    <xdr:pic>
      <xdr:nvPicPr>
        <xdr:cNvPr id="7" name="Picture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8100"/>
          <a:ext cx="2052449" cy="44682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FFFFFF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92" Type="http://schemas.openxmlformats.org/officeDocument/2006/relationships/printerSettings" Target="../printerSettings/printerSettings1.bin"/><Relationship Id="rId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9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93" Type="http://schemas.openxmlformats.org/officeDocument/2006/relationships/drawing" Target="../drawings/drawing1.xml"/><Relationship Id="rId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91" Type="http://schemas.openxmlformats.org/officeDocument/2006/relationships/hyperlink" Target="https://pt.smartsheet.com/tour-do-produto/sights?trp=57030&amp;lx=8ctXrl_Kh26ceDT02PV9bF2F3tjZfBYMXSEruozjq1E&amp;lpa=product+metrics+dashboard+template+pt" TargetMode="External"/><Relationship Id="rId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2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7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1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3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52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0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65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3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78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1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86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4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Relationship Id="rId9" Type="http://schemas.openxmlformats.org/officeDocument/2006/relationships/hyperlink" Target="http://smartsheet.com/sight-gallery?trp=3579&amp;utm_source=integrated+content&amp;utm_campaign=free-excel-dashboard-templates&amp;utm_medium=product+metrics+dashboard+template+microsoft+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"/>
  <sheetViews>
    <sheetView showGridLines="0" tabSelected="1" workbookViewId="0">
      <pane ySplit="1" topLeftCell="A65" activePane="bottomLeft" state="frozen"/>
      <selection pane="bottomLeft" activeCell="A75" sqref="A75:O80"/>
    </sheetView>
  </sheetViews>
  <sheetFormatPr defaultColWidth="10.796875" defaultRowHeight="15.6" x14ac:dyDescent="0.3"/>
  <cols>
    <col min="1" max="2" width="10.796875" style="17"/>
    <col min="3" max="7" width="12" style="17" customWidth="1"/>
    <col min="8" max="16384" width="10.796875" style="17"/>
  </cols>
  <sheetData>
    <row r="1" spans="1:14" ht="39.75" customHeight="1" x14ac:dyDescent="0.3">
      <c r="A1" s="20" t="s">
        <v>15</v>
      </c>
      <c r="B1" s="20"/>
      <c r="C1" s="20"/>
      <c r="D1" s="20"/>
      <c r="E1" s="20"/>
      <c r="F1" s="20"/>
      <c r="G1" s="20"/>
      <c r="H1" s="20"/>
      <c r="I1" s="20"/>
      <c r="J1" s="16"/>
      <c r="K1" s="16"/>
    </row>
    <row r="2" spans="1:14" ht="24" customHeight="1" x14ac:dyDescent="0.3">
      <c r="A2" s="21" t="s">
        <v>14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</row>
    <row r="3" spans="1:14" ht="18" customHeight="1" x14ac:dyDescent="0.3"/>
    <row r="4" spans="1:14" ht="18" customHeight="1" x14ac:dyDescent="0.3"/>
    <row r="5" spans="1:14" ht="18" customHeight="1" x14ac:dyDescent="0.3"/>
    <row r="6" spans="1:14" ht="18" customHeight="1" x14ac:dyDescent="0.3"/>
    <row r="7" spans="1:14" ht="18" customHeight="1" x14ac:dyDescent="0.3"/>
    <row r="8" spans="1:14" ht="18" customHeight="1" x14ac:dyDescent="0.3"/>
    <row r="9" spans="1:14" ht="18" customHeight="1" x14ac:dyDescent="0.3"/>
    <row r="10" spans="1:14" ht="18" customHeight="1" x14ac:dyDescent="0.3"/>
    <row r="11" spans="1:14" ht="18" customHeight="1" x14ac:dyDescent="0.3"/>
    <row r="12" spans="1:14" ht="18" customHeight="1" x14ac:dyDescent="0.3"/>
    <row r="13" spans="1:14" ht="18" customHeight="1" x14ac:dyDescent="0.3"/>
    <row r="14" spans="1:14" ht="18" customHeight="1" x14ac:dyDescent="0.3"/>
    <row r="15" spans="1:14" ht="18" customHeight="1" x14ac:dyDescent="0.3"/>
    <row r="16" spans="1:14" ht="18" customHeight="1" x14ac:dyDescent="0.3"/>
    <row r="17" spans="1:14" ht="18" customHeight="1" x14ac:dyDescent="0.3"/>
    <row r="18" spans="1:14" ht="18" customHeight="1" x14ac:dyDescent="0.3"/>
    <row r="19" spans="1:14" ht="18" customHeight="1" x14ac:dyDescent="0.3"/>
    <row r="20" spans="1:14" ht="18" customHeight="1" x14ac:dyDescent="0.3"/>
    <row r="21" spans="1:14" ht="18" customHeight="1" x14ac:dyDescent="0.3"/>
    <row r="22" spans="1:14" ht="18" customHeight="1" x14ac:dyDescent="0.3"/>
    <row r="23" spans="1:14" ht="18" customHeight="1" x14ac:dyDescent="0.3"/>
    <row r="24" spans="1:14" ht="18" customHeight="1" x14ac:dyDescent="0.3"/>
    <row r="25" spans="1:14" ht="18" customHeight="1" x14ac:dyDescent="0.3"/>
    <row r="26" spans="1:14" ht="18" customHeight="1" x14ac:dyDescent="0.3"/>
    <row r="27" spans="1:14" ht="18" customHeight="1" x14ac:dyDescent="0.3"/>
    <row r="28" spans="1:14" ht="24" customHeight="1" x14ac:dyDescent="0.3">
      <c r="A28" s="22" t="s">
        <v>16</v>
      </c>
      <c r="B28" s="22"/>
      <c r="C28" s="22"/>
      <c r="D28" s="22"/>
      <c r="E28" s="22"/>
      <c r="F28" s="22"/>
      <c r="G28" s="18"/>
      <c r="H28" s="18"/>
      <c r="I28" s="23" t="s">
        <v>17</v>
      </c>
      <c r="J28" s="23"/>
      <c r="K28" s="23"/>
      <c r="L28" s="23"/>
      <c r="M28" s="23"/>
      <c r="N28" s="23"/>
    </row>
    <row r="48" spans="1:14" ht="24" customHeight="1" x14ac:dyDescent="0.3">
      <c r="A48" s="24" t="s">
        <v>18</v>
      </c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</row>
    <row r="75" spans="1:15" ht="15" customHeight="1" x14ac:dyDescent="0.3">
      <c r="A75" s="32" t="s">
        <v>13</v>
      </c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</row>
    <row r="76" spans="1:15" ht="15" customHeight="1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</row>
    <row r="77" spans="1:15" ht="15" customHeight="1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</row>
    <row r="78" spans="1:15" ht="15" customHeight="1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</row>
    <row r="79" spans="1:15" ht="15" customHeight="1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</row>
    <row r="80" spans="1:15" ht="15" customHeight="1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</row>
    <row r="81" spans="1:16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3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3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3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3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3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3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3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3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3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3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3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3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3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3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3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3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3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3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3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3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3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3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3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3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3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3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3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3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3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3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3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3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3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3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3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</sheetData>
  <mergeCells count="6">
    <mergeCell ref="A75:O80"/>
    <mergeCell ref="A1:I1"/>
    <mergeCell ref="A2:N2"/>
    <mergeCell ref="A28:F28"/>
    <mergeCell ref="I28:N28"/>
    <mergeCell ref="A48:N48"/>
  </mergeCells>
  <phoneticPr fontId="7" type="noConversion"/>
  <hyperlinks>
    <hyperlink ref="A75" r:id="rId1"/>
    <hyperlink ref="B75" r:id="rId2" display="Learn More About Dashboards in Smartsheet"/>
    <hyperlink ref="C75" r:id="rId3" display="Learn More About Dashboards in Smartsheet"/>
    <hyperlink ref="D75" r:id="rId4" display="Learn More About Dashboards in Smartsheet"/>
    <hyperlink ref="E75" r:id="rId5" display="Learn More About Dashboards in Smartsheet"/>
    <hyperlink ref="F75" r:id="rId6" display="Learn More About Dashboards in Smartsheet"/>
    <hyperlink ref="G75" r:id="rId7" display="Learn More About Dashboards in Smartsheet"/>
    <hyperlink ref="H75" r:id="rId8" display="Learn More About Dashboards in Smartsheet"/>
    <hyperlink ref="I75" r:id="rId9" display="Learn More About Dashboards in Smartsheet"/>
    <hyperlink ref="J75" r:id="rId10" display="Learn More About Dashboards in Smartsheet"/>
    <hyperlink ref="K75" r:id="rId11" display="Learn More About Dashboards in Smartsheet"/>
    <hyperlink ref="L75" r:id="rId12" display="Learn More About Dashboards in Smartsheet"/>
    <hyperlink ref="M75" r:id="rId13" display="Learn More About Dashboards in Smartsheet"/>
    <hyperlink ref="N75" r:id="rId14" display="Learn More About Dashboards in Smartsheet"/>
    <hyperlink ref="O75" r:id="rId15" display="Learn More About Dashboards in Smartsheet"/>
    <hyperlink ref="A76" r:id="rId16" display="Learn More About Dashboards in Smartsheet"/>
    <hyperlink ref="B76" r:id="rId17" display="Learn More About Dashboards in Smartsheet"/>
    <hyperlink ref="C76" r:id="rId18" display="Learn More About Dashboards in Smartsheet"/>
    <hyperlink ref="D76" r:id="rId19" display="Learn More About Dashboards in Smartsheet"/>
    <hyperlink ref="E76" r:id="rId20" display="Learn More About Dashboards in Smartsheet"/>
    <hyperlink ref="F76" r:id="rId21" display="Learn More About Dashboards in Smartsheet"/>
    <hyperlink ref="G76" r:id="rId22" display="Learn More About Dashboards in Smartsheet"/>
    <hyperlink ref="H76" r:id="rId23" display="Learn More About Dashboards in Smartsheet"/>
    <hyperlink ref="I76" r:id="rId24" display="Learn More About Dashboards in Smartsheet"/>
    <hyperlink ref="J76" r:id="rId25" display="Learn More About Dashboards in Smartsheet"/>
    <hyperlink ref="K76" r:id="rId26" display="Learn More About Dashboards in Smartsheet"/>
    <hyperlink ref="L76" r:id="rId27" display="Learn More About Dashboards in Smartsheet"/>
    <hyperlink ref="M76" r:id="rId28" display="Learn More About Dashboards in Smartsheet"/>
    <hyperlink ref="N76" r:id="rId29" display="Learn More About Dashboards in Smartsheet"/>
    <hyperlink ref="O76" r:id="rId30" display="Learn More About Dashboards in Smartsheet"/>
    <hyperlink ref="A77" r:id="rId31" display="Learn More About Dashboards in Smartsheet"/>
    <hyperlink ref="B77" r:id="rId32" display="Learn More About Dashboards in Smartsheet"/>
    <hyperlink ref="C77" r:id="rId33" display="Learn More About Dashboards in Smartsheet"/>
    <hyperlink ref="D77" r:id="rId34" display="Learn More About Dashboards in Smartsheet"/>
    <hyperlink ref="E77" r:id="rId35" display="Learn More About Dashboards in Smartsheet"/>
    <hyperlink ref="F77" r:id="rId36" display="Learn More About Dashboards in Smartsheet"/>
    <hyperlink ref="G77" r:id="rId37" display="Learn More About Dashboards in Smartsheet"/>
    <hyperlink ref="H77" r:id="rId38" display="Learn More About Dashboards in Smartsheet"/>
    <hyperlink ref="I77" r:id="rId39" display="Learn More About Dashboards in Smartsheet"/>
    <hyperlink ref="J77" r:id="rId40" display="Learn More About Dashboards in Smartsheet"/>
    <hyperlink ref="K77" r:id="rId41" display="Learn More About Dashboards in Smartsheet"/>
    <hyperlink ref="L77" r:id="rId42" display="Learn More About Dashboards in Smartsheet"/>
    <hyperlink ref="M77" r:id="rId43" display="Learn More About Dashboards in Smartsheet"/>
    <hyperlink ref="N77" r:id="rId44" display="Learn More About Dashboards in Smartsheet"/>
    <hyperlink ref="O77" r:id="rId45" display="Learn More About Dashboards in Smartsheet"/>
    <hyperlink ref="A78" r:id="rId46" display="Learn More About Dashboards in Smartsheet"/>
    <hyperlink ref="B78" r:id="rId47" display="Learn More About Dashboards in Smartsheet"/>
    <hyperlink ref="C78" r:id="rId48" display="Learn More About Dashboards in Smartsheet"/>
    <hyperlink ref="D78" r:id="rId49" display="Learn More About Dashboards in Smartsheet"/>
    <hyperlink ref="E78" r:id="rId50" display="Learn More About Dashboards in Smartsheet"/>
    <hyperlink ref="F78" r:id="rId51" display="Learn More About Dashboards in Smartsheet"/>
    <hyperlink ref="G78" r:id="rId52" display="Learn More About Dashboards in Smartsheet"/>
    <hyperlink ref="H78" r:id="rId53" display="Learn More About Dashboards in Smartsheet"/>
    <hyperlink ref="I78" r:id="rId54" display="Learn More About Dashboards in Smartsheet"/>
    <hyperlink ref="J78" r:id="rId55" display="Learn More About Dashboards in Smartsheet"/>
    <hyperlink ref="K78" r:id="rId56" display="Learn More About Dashboards in Smartsheet"/>
    <hyperlink ref="L78" r:id="rId57" display="Learn More About Dashboards in Smartsheet"/>
    <hyperlink ref="M78" r:id="rId58" display="Learn More About Dashboards in Smartsheet"/>
    <hyperlink ref="N78" r:id="rId59" display="Learn More About Dashboards in Smartsheet"/>
    <hyperlink ref="O78" r:id="rId60" display="Learn More About Dashboards in Smartsheet"/>
    <hyperlink ref="A79" r:id="rId61" display="Learn More About Dashboards in Smartsheet"/>
    <hyperlink ref="B79" r:id="rId62" display="Learn More About Dashboards in Smartsheet"/>
    <hyperlink ref="C79" r:id="rId63" display="Learn More About Dashboards in Smartsheet"/>
    <hyperlink ref="D79" r:id="rId64" display="Learn More About Dashboards in Smartsheet"/>
    <hyperlink ref="E79" r:id="rId65" display="Learn More About Dashboards in Smartsheet"/>
    <hyperlink ref="F79" r:id="rId66" display="Learn More About Dashboards in Smartsheet"/>
    <hyperlink ref="G79" r:id="rId67" display="Learn More About Dashboards in Smartsheet"/>
    <hyperlink ref="H79" r:id="rId68" display="Learn More About Dashboards in Smartsheet"/>
    <hyperlink ref="I79" r:id="rId69" display="Learn More About Dashboards in Smartsheet"/>
    <hyperlink ref="J79" r:id="rId70" display="Learn More About Dashboards in Smartsheet"/>
    <hyperlink ref="K79" r:id="rId71" display="Learn More About Dashboards in Smartsheet"/>
    <hyperlink ref="L79" r:id="rId72" display="Learn More About Dashboards in Smartsheet"/>
    <hyperlink ref="M79" r:id="rId73" display="Learn More About Dashboards in Smartsheet"/>
    <hyperlink ref="N79" r:id="rId74" display="Learn More About Dashboards in Smartsheet"/>
    <hyperlink ref="O79" r:id="rId75" display="Learn More About Dashboards in Smartsheet"/>
    <hyperlink ref="A80" r:id="rId76" display="Learn More About Dashboards in Smartsheet"/>
    <hyperlink ref="B80" r:id="rId77" display="Learn More About Dashboards in Smartsheet"/>
    <hyperlink ref="C80" r:id="rId78" display="Learn More About Dashboards in Smartsheet"/>
    <hyperlink ref="D80" r:id="rId79" display="Learn More About Dashboards in Smartsheet"/>
    <hyperlink ref="E80" r:id="rId80" display="Learn More About Dashboards in Smartsheet"/>
    <hyperlink ref="F80" r:id="rId81" display="Learn More About Dashboards in Smartsheet"/>
    <hyperlink ref="G80" r:id="rId82" display="Learn More About Dashboards in Smartsheet"/>
    <hyperlink ref="H80" r:id="rId83" display="Learn More About Dashboards in Smartsheet"/>
    <hyperlink ref="I80" r:id="rId84" display="Learn More About Dashboards in Smartsheet"/>
    <hyperlink ref="J80" r:id="rId85" display="Learn More About Dashboards in Smartsheet"/>
    <hyperlink ref="K80" r:id="rId86" display="Learn More About Dashboards in Smartsheet"/>
    <hyperlink ref="L80" r:id="rId87" display="Learn More About Dashboards in Smartsheet"/>
    <hyperlink ref="M80" r:id="rId88" display="Learn More About Dashboards in Smartsheet"/>
    <hyperlink ref="N80" r:id="rId89" display="Learn More About Dashboards in Smartsheet"/>
    <hyperlink ref="O80" r:id="rId90" display="Learn More About Dashboards in Smartsheet"/>
    <hyperlink ref="A75:O80" r:id="rId91" display="Learn More About Dashboards in Smartsheet"/>
  </hyperlinks>
  <pageMargins left="0.7" right="0.7" top="0.75" bottom="0.75" header="0.3" footer="0.3"/>
  <pageSetup orientation="portrait" verticalDpi="0" r:id="rId92"/>
  <drawing r:id="rId9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5"/>
  <sheetViews>
    <sheetView showGridLines="0" workbookViewId="0">
      <selection activeCell="L19" sqref="L19"/>
    </sheetView>
  </sheetViews>
  <sheetFormatPr defaultColWidth="11" defaultRowHeight="15.6" x14ac:dyDescent="0.3"/>
  <cols>
    <col min="1" max="1" width="14.69921875" style="4" customWidth="1"/>
    <col min="2" max="10" width="13.19921875" customWidth="1"/>
    <col min="11" max="11" width="12" customWidth="1"/>
    <col min="12" max="13" width="13.19921875" customWidth="1"/>
    <col min="14" max="14" width="17.796875" customWidth="1"/>
  </cols>
  <sheetData>
    <row r="1" spans="1:19" ht="31.95" customHeight="1" x14ac:dyDescent="0.3">
      <c r="A1" s="25" t="s">
        <v>20</v>
      </c>
      <c r="B1" s="25"/>
      <c r="C1" s="25"/>
      <c r="D1" s="25"/>
      <c r="E1" s="25"/>
      <c r="F1" s="25"/>
      <c r="G1" s="25"/>
      <c r="H1" s="25"/>
      <c r="I1" s="25"/>
      <c r="J1" s="25"/>
      <c r="K1" s="1"/>
      <c r="L1" s="1"/>
      <c r="M1" s="1"/>
      <c r="N1" s="1"/>
      <c r="O1" s="1"/>
      <c r="P1" s="1"/>
      <c r="Q1" s="1"/>
      <c r="R1" s="1"/>
      <c r="S1" s="1"/>
    </row>
    <row r="2" spans="1:19" ht="31.95" customHeight="1" x14ac:dyDescent="0.3">
      <c r="A2" s="28" t="s">
        <v>14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1"/>
      <c r="P2" s="1"/>
      <c r="Q2" s="1"/>
      <c r="R2" s="1"/>
      <c r="S2" s="1"/>
    </row>
    <row r="3" spans="1:19" ht="24" customHeight="1" x14ac:dyDescent="0.3">
      <c r="A3" s="29" t="s">
        <v>19</v>
      </c>
      <c r="B3" s="29"/>
      <c r="C3" s="2" t="s">
        <v>0</v>
      </c>
      <c r="D3" s="2" t="s">
        <v>21</v>
      </c>
      <c r="E3" s="2" t="s">
        <v>1</v>
      </c>
      <c r="F3" s="2" t="s">
        <v>22</v>
      </c>
      <c r="G3" s="2" t="s">
        <v>23</v>
      </c>
      <c r="H3" s="2" t="s">
        <v>2</v>
      </c>
      <c r="I3" s="2" t="s">
        <v>3</v>
      </c>
      <c r="J3" s="2" t="s">
        <v>24</v>
      </c>
      <c r="K3" s="2" t="s">
        <v>25</v>
      </c>
      <c r="L3" s="2" t="s">
        <v>26</v>
      </c>
      <c r="M3" s="2" t="s">
        <v>4</v>
      </c>
      <c r="N3" s="2" t="s">
        <v>27</v>
      </c>
      <c r="O3" s="1"/>
      <c r="P3" s="1"/>
      <c r="Q3" s="1"/>
      <c r="R3" s="1"/>
      <c r="S3" s="1"/>
    </row>
    <row r="4" spans="1:19" x14ac:dyDescent="0.3">
      <c r="A4" s="26" t="s">
        <v>5</v>
      </c>
      <c r="B4" s="26"/>
      <c r="C4" s="11">
        <v>47216</v>
      </c>
      <c r="D4" s="11">
        <v>244714</v>
      </c>
      <c r="E4" s="11">
        <v>246549</v>
      </c>
      <c r="F4" s="11">
        <v>235062</v>
      </c>
      <c r="G4" s="11">
        <v>162881</v>
      </c>
      <c r="H4" s="11">
        <v>96528</v>
      </c>
      <c r="I4" s="11">
        <v>29235</v>
      </c>
      <c r="J4" s="11">
        <v>25934</v>
      </c>
      <c r="K4" s="11">
        <v>233397</v>
      </c>
      <c r="L4" s="11">
        <v>78479</v>
      </c>
      <c r="M4" s="11">
        <v>184799</v>
      </c>
      <c r="N4" s="11">
        <v>248215</v>
      </c>
      <c r="O4" s="1"/>
      <c r="P4" s="1"/>
      <c r="Q4" s="1"/>
      <c r="R4" s="1"/>
      <c r="S4" s="1"/>
    </row>
    <row r="5" spans="1:19" x14ac:dyDescent="0.3">
      <c r="A5" s="26" t="s">
        <v>6</v>
      </c>
      <c r="B5" s="26"/>
      <c r="C5" s="11">
        <v>19193</v>
      </c>
      <c r="D5" s="11">
        <v>32086</v>
      </c>
      <c r="E5" s="11">
        <v>93117</v>
      </c>
      <c r="F5" s="11">
        <v>45862</v>
      </c>
      <c r="G5" s="11">
        <v>62853</v>
      </c>
      <c r="H5" s="11">
        <v>55513</v>
      </c>
      <c r="I5" s="11">
        <v>22945</v>
      </c>
      <c r="J5" s="11">
        <v>15084</v>
      </c>
      <c r="K5" s="11">
        <v>45347</v>
      </c>
      <c r="L5" s="11">
        <v>57736</v>
      </c>
      <c r="M5" s="11">
        <v>20142</v>
      </c>
      <c r="N5" s="11">
        <v>45284</v>
      </c>
      <c r="O5" s="1"/>
      <c r="P5" s="1"/>
      <c r="Q5" s="1"/>
      <c r="R5" s="1"/>
      <c r="S5" s="1"/>
    </row>
    <row r="6" spans="1:19" x14ac:dyDescent="0.3">
      <c r="A6" s="26" t="s">
        <v>7</v>
      </c>
      <c r="B6" s="26"/>
      <c r="C6" s="11">
        <v>222006</v>
      </c>
      <c r="D6" s="11">
        <v>180009</v>
      </c>
      <c r="E6" s="11">
        <v>99998</v>
      </c>
      <c r="F6" s="11">
        <v>215030</v>
      </c>
      <c r="G6" s="11">
        <v>195262</v>
      </c>
      <c r="H6" s="11">
        <v>272260</v>
      </c>
      <c r="I6" s="11">
        <v>128123</v>
      </c>
      <c r="J6" s="11">
        <v>163950</v>
      </c>
      <c r="K6" s="11">
        <v>213914</v>
      </c>
      <c r="L6" s="11">
        <v>180191</v>
      </c>
      <c r="M6" s="11">
        <v>111890</v>
      </c>
      <c r="N6" s="11">
        <v>260495</v>
      </c>
      <c r="O6" s="1"/>
    </row>
    <row r="7" spans="1:19" x14ac:dyDescent="0.3">
      <c r="A7" s="26" t="s">
        <v>8</v>
      </c>
      <c r="B7" s="26"/>
      <c r="C7" s="11">
        <v>39469</v>
      </c>
      <c r="D7" s="11">
        <v>58661</v>
      </c>
      <c r="E7" s="11">
        <v>60612</v>
      </c>
      <c r="F7" s="11">
        <v>99456</v>
      </c>
      <c r="G7" s="11">
        <v>39062</v>
      </c>
      <c r="H7" s="11">
        <v>42689</v>
      </c>
      <c r="I7" s="11">
        <v>53197</v>
      </c>
      <c r="J7" s="11">
        <v>23026</v>
      </c>
      <c r="K7" s="11">
        <v>33165</v>
      </c>
      <c r="L7" s="11">
        <v>88342</v>
      </c>
      <c r="M7" s="11">
        <v>8492</v>
      </c>
      <c r="N7" s="11">
        <v>34798</v>
      </c>
      <c r="O7" s="1"/>
    </row>
    <row r="8" spans="1:19" x14ac:dyDescent="0.3">
      <c r="A8" s="26" t="s">
        <v>9</v>
      </c>
      <c r="B8" s="26"/>
      <c r="C8" s="11">
        <v>234770</v>
      </c>
      <c r="D8" s="11">
        <v>46607</v>
      </c>
      <c r="E8" s="11">
        <v>232313</v>
      </c>
      <c r="F8" s="11">
        <v>255979</v>
      </c>
      <c r="G8" s="11">
        <v>282279</v>
      </c>
      <c r="H8" s="11">
        <v>83677</v>
      </c>
      <c r="I8" s="11">
        <v>254593</v>
      </c>
      <c r="J8" s="11">
        <v>50461</v>
      </c>
      <c r="K8" s="11">
        <v>239685</v>
      </c>
      <c r="L8" s="11">
        <v>106425</v>
      </c>
      <c r="M8" s="11">
        <v>229535</v>
      </c>
      <c r="N8" s="11">
        <v>200682</v>
      </c>
      <c r="O8" s="1"/>
    </row>
    <row r="9" spans="1:19" x14ac:dyDescent="0.3">
      <c r="A9" s="26" t="s">
        <v>10</v>
      </c>
      <c r="B9" s="26"/>
      <c r="C9" s="11">
        <v>201494</v>
      </c>
      <c r="D9" s="11">
        <v>186911</v>
      </c>
      <c r="E9" s="11">
        <v>203515</v>
      </c>
      <c r="F9" s="11">
        <v>234445</v>
      </c>
      <c r="G9" s="11">
        <v>181894</v>
      </c>
      <c r="H9" s="11">
        <v>160175</v>
      </c>
      <c r="I9" s="11">
        <v>266340</v>
      </c>
      <c r="J9" s="11">
        <v>175055</v>
      </c>
      <c r="K9" s="11">
        <v>94469</v>
      </c>
      <c r="L9" s="11">
        <v>209779</v>
      </c>
      <c r="M9" s="11">
        <v>275541</v>
      </c>
      <c r="N9" s="11">
        <v>268761</v>
      </c>
      <c r="O9" s="1"/>
    </row>
    <row r="10" spans="1:19" x14ac:dyDescent="0.3">
      <c r="A10" s="26" t="s">
        <v>11</v>
      </c>
      <c r="B10" s="26"/>
      <c r="C10" s="11">
        <v>274110</v>
      </c>
      <c r="D10" s="11">
        <v>149012</v>
      </c>
      <c r="E10" s="11">
        <v>260774</v>
      </c>
      <c r="F10" s="11">
        <v>107794</v>
      </c>
      <c r="G10" s="11">
        <v>35721</v>
      </c>
      <c r="H10" s="11">
        <v>225425</v>
      </c>
      <c r="I10" s="11">
        <v>62085</v>
      </c>
      <c r="J10" s="11">
        <v>130874</v>
      </c>
      <c r="K10" s="11">
        <v>194695</v>
      </c>
      <c r="L10" s="11">
        <v>19447</v>
      </c>
      <c r="M10" s="11">
        <v>31889</v>
      </c>
      <c r="N10" s="11">
        <v>31930</v>
      </c>
      <c r="O10" s="1"/>
    </row>
    <row r="11" spans="1:19" x14ac:dyDescent="0.3">
      <c r="A11" s="26" t="s">
        <v>12</v>
      </c>
      <c r="B11" s="26"/>
      <c r="C11" s="11">
        <v>82171</v>
      </c>
      <c r="D11" s="11">
        <v>204047</v>
      </c>
      <c r="E11" s="11">
        <v>44710</v>
      </c>
      <c r="F11" s="11">
        <v>100217</v>
      </c>
      <c r="G11" s="11">
        <v>115395</v>
      </c>
      <c r="H11" s="11">
        <v>145751</v>
      </c>
      <c r="I11" s="11">
        <v>15786</v>
      </c>
      <c r="J11" s="11">
        <v>37944</v>
      </c>
      <c r="K11" s="11">
        <v>38415</v>
      </c>
      <c r="L11" s="11">
        <v>70395</v>
      </c>
      <c r="M11" s="11">
        <v>25040</v>
      </c>
      <c r="N11" s="11">
        <v>67508</v>
      </c>
      <c r="O11" s="1"/>
    </row>
    <row r="12" spans="1:19" x14ac:dyDescent="0.3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9" ht="33" customHeight="1" x14ac:dyDescent="0.3">
      <c r="A13" s="31" t="s">
        <v>16</v>
      </c>
      <c r="B13" s="31"/>
      <c r="C13" s="31"/>
      <c r="D13" s="31"/>
      <c r="E13" s="31"/>
      <c r="F13" s="31"/>
      <c r="G13" s="31"/>
      <c r="H13" s="31"/>
      <c r="I13" s="31"/>
      <c r="J13" s="31"/>
      <c r="K13" s="1"/>
      <c r="L13" s="30" t="s">
        <v>17</v>
      </c>
      <c r="M13" s="30"/>
      <c r="N13" s="30"/>
    </row>
    <row r="14" spans="1:19" ht="24" customHeight="1" x14ac:dyDescent="0.3">
      <c r="A14" s="9"/>
      <c r="B14" s="9" t="s">
        <v>5</v>
      </c>
      <c r="C14" s="9" t="s">
        <v>6</v>
      </c>
      <c r="D14" s="9" t="s">
        <v>7</v>
      </c>
      <c r="E14" s="9" t="s">
        <v>8</v>
      </c>
      <c r="F14" s="9" t="s">
        <v>9</v>
      </c>
      <c r="G14" s="9" t="s">
        <v>10</v>
      </c>
      <c r="H14" s="9" t="s">
        <v>11</v>
      </c>
      <c r="I14" s="9" t="s">
        <v>12</v>
      </c>
      <c r="J14" s="9" t="s">
        <v>30</v>
      </c>
      <c r="K14" s="1"/>
      <c r="L14" s="5"/>
      <c r="M14" s="6" t="s">
        <v>33</v>
      </c>
      <c r="N14" s="6" t="s">
        <v>34</v>
      </c>
    </row>
    <row r="15" spans="1:19" x14ac:dyDescent="0.3">
      <c r="A15" s="10" t="s">
        <v>28</v>
      </c>
      <c r="B15" s="12">
        <f>SUM(C4:N4)</f>
        <v>1833009</v>
      </c>
      <c r="C15" s="12">
        <f>SUM(C5:N5)</f>
        <v>515162</v>
      </c>
      <c r="D15" s="12">
        <f>SUM(C6:N6)</f>
        <v>2243128</v>
      </c>
      <c r="E15" s="12">
        <f>SUM(C7:N7)</f>
        <v>580969</v>
      </c>
      <c r="F15" s="12">
        <f>SUM(C8:N8)</f>
        <v>2217006</v>
      </c>
      <c r="G15" s="12">
        <f>SUM(C9:N9)</f>
        <v>2458379</v>
      </c>
      <c r="H15" s="12">
        <f>SUM(C10:N10)</f>
        <v>1523756</v>
      </c>
      <c r="I15" s="12">
        <f>SUM(C11:N11)</f>
        <v>947379</v>
      </c>
      <c r="J15" s="12">
        <f>SUM(B15:I15)</f>
        <v>12318788</v>
      </c>
      <c r="K15" s="1"/>
      <c r="L15" s="7" t="s">
        <v>35</v>
      </c>
      <c r="M15" s="8">
        <v>57.6</v>
      </c>
      <c r="N15" s="8">
        <v>22.4</v>
      </c>
      <c r="O15" s="1"/>
    </row>
    <row r="16" spans="1:19" x14ac:dyDescent="0.3">
      <c r="A16" s="10" t="s">
        <v>29</v>
      </c>
      <c r="B16" s="13">
        <f>B15/J15</f>
        <v>0.14879783628064708</v>
      </c>
      <c r="C16" s="13">
        <f>C15/J15</f>
        <v>4.1819211435410689E-2</v>
      </c>
      <c r="D16" s="13">
        <f>D15/J15</f>
        <v>0.18208999132057471</v>
      </c>
      <c r="E16" s="13">
        <f>E15/J15</f>
        <v>4.716121423633559E-2</v>
      </c>
      <c r="F16" s="13">
        <f>F15/J15</f>
        <v>0.17996949050507241</v>
      </c>
      <c r="G16" s="13">
        <f>G15/J15</f>
        <v>0.19956338237170734</v>
      </c>
      <c r="H16" s="13">
        <f>H15/J15</f>
        <v>0.12369366207130117</v>
      </c>
      <c r="I16" s="13">
        <f>I15/J15</f>
        <v>7.6905211778950988E-2</v>
      </c>
      <c r="J16" s="13">
        <f>SUM(B16:I16)</f>
        <v>1</v>
      </c>
      <c r="K16" s="1"/>
      <c r="L16" s="7" t="s">
        <v>36</v>
      </c>
      <c r="M16" s="8">
        <v>55</v>
      </c>
      <c r="N16" s="8">
        <v>20</v>
      </c>
      <c r="O16" s="1"/>
    </row>
    <row r="17" spans="1:19" x14ac:dyDescent="0.3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40.049999999999997" customHeight="1" x14ac:dyDescent="0.3">
      <c r="A18" s="27" t="s">
        <v>18</v>
      </c>
      <c r="B18" s="27"/>
      <c r="C18" s="27"/>
      <c r="D18" s="27"/>
      <c r="E18" s="27"/>
      <c r="F18" s="27"/>
      <c r="G18" s="27"/>
      <c r="H18" s="27"/>
      <c r="I18" s="27"/>
      <c r="J18" s="27"/>
      <c r="K18" s="1"/>
      <c r="L18" s="1"/>
      <c r="M18" s="1"/>
      <c r="N18" s="1"/>
      <c r="O18" s="1"/>
      <c r="P18" s="1"/>
      <c r="Q18" s="1"/>
      <c r="R18" s="1"/>
      <c r="S18" s="1"/>
    </row>
    <row r="19" spans="1:19" ht="24" customHeight="1" x14ac:dyDescent="0.3">
      <c r="A19" s="14"/>
      <c r="B19" s="14" t="s">
        <v>5</v>
      </c>
      <c r="C19" s="14" t="s">
        <v>6</v>
      </c>
      <c r="D19" s="14" t="s">
        <v>7</v>
      </c>
      <c r="E19" s="14" t="s">
        <v>8</v>
      </c>
      <c r="F19" s="14" t="s">
        <v>9</v>
      </c>
      <c r="G19" s="14" t="s">
        <v>10</v>
      </c>
      <c r="H19" s="14" t="s">
        <v>11</v>
      </c>
      <c r="I19" s="14" t="s">
        <v>12</v>
      </c>
      <c r="J19" s="14" t="s">
        <v>30</v>
      </c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3">
      <c r="A20" s="15" t="s">
        <v>31</v>
      </c>
      <c r="B20" s="13">
        <v>0.73</v>
      </c>
      <c r="C20" s="13">
        <v>0.75</v>
      </c>
      <c r="D20" s="13">
        <v>0.91</v>
      </c>
      <c r="E20" s="13">
        <v>0.85</v>
      </c>
      <c r="F20" s="13">
        <v>0.89</v>
      </c>
      <c r="G20" s="13">
        <v>0.82</v>
      </c>
      <c r="H20" s="13">
        <v>0.28000000000000003</v>
      </c>
      <c r="I20" s="13">
        <v>0.84</v>
      </c>
      <c r="J20" s="13">
        <f>SUM(B20:I20)/8</f>
        <v>0.75875000000000004</v>
      </c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3">
      <c r="A21" s="15" t="s">
        <v>32</v>
      </c>
      <c r="B21" s="13">
        <f>1-B20</f>
        <v>0.27</v>
      </c>
      <c r="C21" s="13">
        <f t="shared" ref="C21:I21" si="0">1-C20</f>
        <v>0.25</v>
      </c>
      <c r="D21" s="13">
        <f t="shared" si="0"/>
        <v>8.9999999999999969E-2</v>
      </c>
      <c r="E21" s="13">
        <f t="shared" si="0"/>
        <v>0.15000000000000002</v>
      </c>
      <c r="F21" s="13">
        <f t="shared" si="0"/>
        <v>0.10999999999999999</v>
      </c>
      <c r="G21" s="13">
        <f t="shared" si="0"/>
        <v>0.18000000000000005</v>
      </c>
      <c r="H21" s="13">
        <f t="shared" si="0"/>
        <v>0.72</v>
      </c>
      <c r="I21" s="13">
        <f t="shared" si="0"/>
        <v>0.16000000000000003</v>
      </c>
      <c r="J21" s="13">
        <f>SUM(B21:I21)/8</f>
        <v>0.24125000000000002</v>
      </c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3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3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3"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3">
      <c r="D26" s="1"/>
      <c r="L26" s="1"/>
      <c r="M26" s="1"/>
      <c r="N26" s="1"/>
      <c r="O26" s="1"/>
      <c r="P26" s="1"/>
      <c r="Q26" s="1"/>
      <c r="R26" s="1"/>
      <c r="S26" s="1"/>
    </row>
    <row r="27" spans="1:19" x14ac:dyDescent="0.3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3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3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3">
      <c r="A30" s="3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3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3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3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3">
      <c r="A34" s="3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3">
      <c r="A35" s="3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</sheetData>
  <mergeCells count="14">
    <mergeCell ref="A1:J1"/>
    <mergeCell ref="A5:B5"/>
    <mergeCell ref="A18:J18"/>
    <mergeCell ref="A10:B10"/>
    <mergeCell ref="A11:B11"/>
    <mergeCell ref="A2:N2"/>
    <mergeCell ref="A3:B3"/>
    <mergeCell ref="A4:B4"/>
    <mergeCell ref="L13:N13"/>
    <mergeCell ref="A13:J13"/>
    <mergeCell ref="A6:B6"/>
    <mergeCell ref="A7:B7"/>
    <mergeCell ref="A8:B8"/>
    <mergeCell ref="A9:B9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Painel de métrica de produto</vt:lpstr>
      <vt:lpstr>Dados do 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Alexandra Ragazhinskaya</cp:lastModifiedBy>
  <dcterms:created xsi:type="dcterms:W3CDTF">2016-03-21T16:06:55Z</dcterms:created>
  <dcterms:modified xsi:type="dcterms:W3CDTF">2017-06-13T19:34:58Z</dcterms:modified>
</cp:coreProperties>
</file>